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" sheetId="1" state="visible" r:id="rId1"/>
    <sheet name="Database_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6"/>
    </font>
    <font>
      <name val="Calibri"/>
      <b val="1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0" fontId="0" fillId="0" borderId="0" pivotButton="0" quotePrefix="0" xfId="0"/>
    <xf numFmtId="0" fontId="5" fillId="3" borderId="0" pivotButton="0" quotePrefix="0" xfId="0"/>
    <xf numFmtId="0" fontId="2" fillId="0" borderId="0" pivotButton="0" quotePrefix="0" xfId="0"/>
    <xf numFmtId="164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69" customWidth="1" min="3" max="3"/>
    <col width="39" customWidth="1" min="4" max="4"/>
    <col width="69" customWidth="1" min="5" max="5"/>
  </cols>
  <sheetData>
    <row r="1"/>
    <row r="2">
      <c r="B2" s="1" t="inlineStr">
        <is>
          <t>SIMULADOR DE INVESTIMENTOS MULTICLASSE</t>
        </is>
      </c>
    </row>
    <row r="3"/>
    <row r="4"/>
    <row r="5"/>
    <row r="6"/>
    <row r="7"/>
    <row r="8"/>
    <row r="9">
      <c r="B9" s="2" t="inlineStr">
        <is>
          <t>1. CONFIGURAÇÕES GLOBAIS</t>
        </is>
      </c>
    </row>
    <row r="10">
      <c r="B10" t="inlineStr">
        <is>
          <t>Salário Base</t>
        </is>
      </c>
      <c r="D10" s="3" t="n">
        <v>2000</v>
      </c>
    </row>
    <row r="11">
      <c r="B11" t="inlineStr">
        <is>
          <t>Taxa Poupança Sugerida</t>
        </is>
      </c>
      <c r="D11" s="4" t="n">
        <v>0.3</v>
      </c>
    </row>
    <row r="12">
      <c r="B12" t="inlineStr">
        <is>
          <t>Sugestão de Aporte Mensal (30%)</t>
        </is>
      </c>
      <c r="D12" s="3">
        <f>D10*D11</f>
        <v/>
      </c>
    </row>
    <row r="13"/>
    <row r="14"/>
    <row r="15">
      <c r="B15" s="2" t="inlineStr">
        <is>
          <t>2. SELEÇÃO DE PERFIL E APORTE</t>
        </is>
      </c>
    </row>
    <row r="16">
      <c r="B16" t="inlineStr">
        <is>
          <t>Perfil de Investimento</t>
        </is>
      </c>
      <c r="C16" s="5" t="inlineStr">
        <is>
          <t>Moderado</t>
        </is>
      </c>
    </row>
    <row r="17">
      <c r="B17" t="inlineStr">
        <is>
          <t>Valor Efetivo Aportado por Mês</t>
        </is>
      </c>
      <c r="D17" s="6">
        <f>D12</f>
        <v/>
      </c>
    </row>
    <row r="18">
      <c r="B18" t="inlineStr">
        <is>
          <t>Taxa de Retorno Média da Carteira (a.m.)</t>
        </is>
      </c>
      <c r="D18" s="7">
        <f>SOMAPRODUTO(C24:C29; E24:E29) / 12</f>
        <v/>
      </c>
    </row>
    <row r="19"/>
    <row r="20"/>
    <row r="21">
      <c r="B21" s="2" t="inlineStr">
        <is>
          <t>3. DISTRIBUIÇÃO DA CARTEIRA POR ATIVO</t>
        </is>
      </c>
    </row>
    <row r="22"/>
    <row r="23">
      <c r="B23" s="8" t="inlineStr">
        <is>
          <t>TIPO DE INVESTIMENTO</t>
        </is>
      </c>
      <c r="C23" s="8" t="inlineStr">
        <is>
          <t>Percentual na Carteira</t>
        </is>
      </c>
      <c r="D23" s="8" t="inlineStr">
        <is>
          <t>Aporte Alocado (R$)</t>
        </is>
      </c>
      <c r="E23" s="8" t="inlineStr">
        <is>
          <t>Retorno Esperado (a.a.)</t>
        </is>
      </c>
    </row>
    <row r="24">
      <c r="B24" s="9" t="inlineStr">
        <is>
          <t>RENDA FIXA</t>
        </is>
      </c>
      <c r="C24" s="4">
        <f>PROCV($C$16 &amp; "-" &amp; B24; Database_Profiles!$A$2:$E$19; 4; FALSO)</f>
        <v/>
      </c>
      <c r="D24" s="3">
        <f>C24*$D$17</f>
        <v/>
      </c>
      <c r="E24" s="4">
        <f>PROCV($C$16 &amp; "-" &amp; B24; Database_Profiles!$A$2:$E$19; 5; FALSO)</f>
        <v/>
      </c>
    </row>
    <row r="25">
      <c r="B25" s="9" t="inlineStr">
        <is>
          <t>IMOBILIÁRIO</t>
        </is>
      </c>
      <c r="C25" s="4">
        <f>PROCV($C$16 &amp; "-" &amp; B25; Database_Profiles!$A$2:$E$19; 4; FALSO)</f>
        <v/>
      </c>
      <c r="D25" s="3">
        <f>C25*$D$17</f>
        <v/>
      </c>
      <c r="E25" s="4">
        <f>PROCV($C$16 &amp; "-" &amp; B25; Database_Profiles!$A$2:$E$19; 5; FALSO)</f>
        <v/>
      </c>
    </row>
    <row r="26">
      <c r="B26" s="9" t="inlineStr">
        <is>
          <t>MULTIMERCADO</t>
        </is>
      </c>
      <c r="C26" s="4">
        <f>PROCV($C$16 &amp; "-" &amp; B26; Database_Profiles!$A$2:$E$19; 4; FALSO)</f>
        <v/>
      </c>
      <c r="D26" s="3">
        <f>C26*$D$17</f>
        <v/>
      </c>
      <c r="E26" s="4">
        <f>PROCV($C$16 &amp; "-" &amp; B26; Database_Profiles!$A$2:$E$19; 5; FALSO)</f>
        <v/>
      </c>
    </row>
    <row r="27">
      <c r="B27" s="9" t="inlineStr">
        <is>
          <t>AÇÕES BR</t>
        </is>
      </c>
      <c r="C27" s="4">
        <f>PROCV($C$16 &amp; "-" &amp; B27; Database_Profiles!$A$2:$E$19; 4; FALSO)</f>
        <v/>
      </c>
      <c r="D27" s="3">
        <f>C27*$D$17</f>
        <v/>
      </c>
      <c r="E27" s="4">
        <f>PROCV($C$16 &amp; "-" &amp; B27; Database_Profiles!$A$2:$E$19; 5; FALSO)</f>
        <v/>
      </c>
    </row>
    <row r="28">
      <c r="B28" s="9" t="inlineStr">
        <is>
          <t>INTERNACIONAL</t>
        </is>
      </c>
      <c r="C28" s="4">
        <f>PROCV($C$16 &amp; "-" &amp; B28; Database_Profiles!$A$2:$E$19; 4; FALSO)</f>
        <v/>
      </c>
      <c r="D28" s="3">
        <f>C28*$D$17</f>
        <v/>
      </c>
      <c r="E28" s="4">
        <f>PROCV($C$16 &amp; "-" &amp; B28; Database_Profiles!$A$2:$E$19; 5; FALSO)</f>
        <v/>
      </c>
    </row>
    <row r="29">
      <c r="B29" s="9" t="inlineStr">
        <is>
          <t>CRIPTOMOEDAS</t>
        </is>
      </c>
      <c r="C29" s="4">
        <f>PROCV($C$16 &amp; "-" &amp; B29; Database_Profiles!$A$2:$E$19; 4; FALSO)</f>
        <v/>
      </c>
      <c r="D29" s="3">
        <f>C29*$D$17</f>
        <v/>
      </c>
      <c r="E29" s="4">
        <f>PROCV($C$16 &amp; "-" &amp; B29; Database_Profiles!$A$2:$E$19; 5; FALSO)</f>
        <v/>
      </c>
    </row>
    <row r="30">
      <c r="B30" s="5" t="inlineStr">
        <is>
          <t>TOTAL</t>
        </is>
      </c>
      <c r="C30" s="10">
        <f>SOMA(C24:C29)</f>
        <v/>
      </c>
      <c r="D30" s="6">
        <f>SOMA(D24:D29)</f>
        <v/>
      </c>
    </row>
    <row r="31"/>
    <row r="32">
      <c r="B32" s="2" t="inlineStr">
        <is>
          <t>4. PROJEÇÕES DE LONGO PRAZO (CENÁRIOS)</t>
        </is>
      </c>
    </row>
    <row r="33">
      <c r="B33" s="8" t="inlineStr">
        <is>
          <t>Anos</t>
        </is>
      </c>
      <c r="C33" s="8" t="inlineStr">
        <is>
          <t>Total Aportado (Capital)</t>
        </is>
      </c>
      <c r="D33" s="8" t="inlineStr">
        <is>
          <t>Patrimônio Acumulado (com Juros)</t>
        </is>
      </c>
      <c r="E33" s="8" t="inlineStr">
        <is>
          <t>Rendimento Mensal Estimado</t>
        </is>
      </c>
    </row>
    <row r="34">
      <c r="B34" t="n">
        <v>2</v>
      </c>
      <c r="C34" s="3">
        <f>$D$17*2*12</f>
        <v/>
      </c>
      <c r="D34" s="3">
        <f>VF($D$18; B34*12; -$D$17)</f>
        <v/>
      </c>
      <c r="E34" s="3">
        <f>D34*$D$18</f>
        <v/>
      </c>
    </row>
    <row r="35">
      <c r="B35" t="n">
        <v>5</v>
      </c>
      <c r="C35" s="3">
        <f>$D$17*5*12</f>
        <v/>
      </c>
      <c r="D35" s="3">
        <f>VF($D$18; B35*12; -$D$17)</f>
        <v/>
      </c>
      <c r="E35" s="3">
        <f>D35*$D$18</f>
        <v/>
      </c>
    </row>
    <row r="36">
      <c r="B36" t="n">
        <v>10</v>
      </c>
      <c r="C36" s="3">
        <f>$D$17*10*12</f>
        <v/>
      </c>
      <c r="D36" s="3">
        <f>VF($D$18; B36*12; -$D$17)</f>
        <v/>
      </c>
      <c r="E36" s="3">
        <f>D36*$D$18</f>
        <v/>
      </c>
    </row>
    <row r="37">
      <c r="B37" t="n">
        <v>20</v>
      </c>
      <c r="C37" s="3">
        <f>$D$17*20*12</f>
        <v/>
      </c>
      <c r="D37" s="3">
        <f>VF($D$18; B37*12; -$D$17)</f>
        <v/>
      </c>
      <c r="E37" s="3">
        <f>D37*$D$18</f>
        <v/>
      </c>
    </row>
    <row r="38">
      <c r="B38" t="n">
        <v>30</v>
      </c>
      <c r="C38" s="3">
        <f>$D$17*30*12</f>
        <v/>
      </c>
      <c r="D38" s="3">
        <f>VF($D$18; B38*12; -$D$17)</f>
        <v/>
      </c>
      <c r="E38" s="3">
        <f>D38*$D$18</f>
        <v/>
      </c>
    </row>
  </sheetData>
  <dataValidations count="1">
    <dataValidation sqref="C16" showDropDown="0" showInputMessage="0" showErrorMessage="0" allowBlank="0" type="list">
      <formula1>Database_Profiles!$F$2:$F$4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24" customWidth="1" min="3" max="3"/>
    <col width="12" customWidth="1" min="4" max="4"/>
    <col width="14" customWidth="1" min="5" max="5"/>
    <col width="17" customWidth="1" min="6" max="6"/>
  </cols>
  <sheetData>
    <row r="1">
      <c r="A1" s="2" t="inlineStr">
        <is>
          <t>CHAVE</t>
        </is>
      </c>
      <c r="B1" s="2" t="inlineStr">
        <is>
          <t>PERFIL</t>
        </is>
      </c>
      <c r="C1" s="2" t="inlineStr">
        <is>
          <t>TIPO DE INVESTIMENTO</t>
        </is>
      </c>
      <c r="D1" s="2" t="inlineStr">
        <is>
          <t>%</t>
        </is>
      </c>
      <c r="E1" s="2" t="inlineStr">
        <is>
          <t>RETORNO AA</t>
        </is>
      </c>
      <c r="F1" t="inlineStr">
        <is>
          <t>Perfis_Unicos</t>
        </is>
      </c>
    </row>
    <row r="2">
      <c r="A2" s="9" t="inlineStr">
        <is>
          <t>Conservador-RENDA FIXA</t>
        </is>
      </c>
      <c r="B2" s="9" t="inlineStr">
        <is>
          <t>Conservador</t>
        </is>
      </c>
      <c r="C2" s="9" t="inlineStr">
        <is>
          <t>RENDA FIXA</t>
        </is>
      </c>
      <c r="D2" s="11" t="n">
        <v>0.5</v>
      </c>
      <c r="E2" s="11" t="n">
        <v>0.1</v>
      </c>
      <c r="F2" t="inlineStr">
        <is>
          <t>Conservador</t>
        </is>
      </c>
    </row>
    <row r="3">
      <c r="A3" s="9" t="inlineStr">
        <is>
          <t>Conservador-IMOBILIÁRIO</t>
        </is>
      </c>
      <c r="B3" s="9" t="inlineStr">
        <is>
          <t>Conservador</t>
        </is>
      </c>
      <c r="C3" s="9" t="inlineStr">
        <is>
          <t>IMOBILIÁRIO</t>
        </is>
      </c>
      <c r="D3" s="11" t="n">
        <v>0.3</v>
      </c>
      <c r="E3" s="11" t="n">
        <v>0.11</v>
      </c>
      <c r="F3" t="inlineStr">
        <is>
          <t>Moderado</t>
        </is>
      </c>
    </row>
    <row r="4">
      <c r="A4" s="9" t="inlineStr">
        <is>
          <t>Conservador-MULTIMERCADO</t>
        </is>
      </c>
      <c r="B4" s="9" t="inlineStr">
        <is>
          <t>Conservador</t>
        </is>
      </c>
      <c r="C4" s="9" t="inlineStr">
        <is>
          <t>MULTIMERCADO</t>
        </is>
      </c>
      <c r="D4" s="11" t="n">
        <v>0.1</v>
      </c>
      <c r="E4" s="11" t="n">
        <v>0.105</v>
      </c>
      <c r="F4" t="inlineStr">
        <is>
          <t>Agressivo</t>
        </is>
      </c>
    </row>
    <row r="5">
      <c r="A5" s="9" t="inlineStr">
        <is>
          <t>Conservador-AÇÕES BR</t>
        </is>
      </c>
      <c r="B5" s="9" t="inlineStr">
        <is>
          <t>Conservador</t>
        </is>
      </c>
      <c r="C5" s="9" t="inlineStr">
        <is>
          <t>AÇÕES BR</t>
        </is>
      </c>
      <c r="D5" s="11" t="n">
        <v>0.1</v>
      </c>
      <c r="E5" s="11" t="n">
        <v>0.12</v>
      </c>
    </row>
    <row r="6">
      <c r="A6" s="9" t="inlineStr">
        <is>
          <t>Conservador-INTERNACIONAL</t>
        </is>
      </c>
      <c r="B6" s="9" t="inlineStr">
        <is>
          <t>Conservador</t>
        </is>
      </c>
      <c r="C6" s="9" t="inlineStr">
        <is>
          <t>INTERNACIONAL</t>
        </is>
      </c>
      <c r="D6" s="11" t="n">
        <v>0</v>
      </c>
      <c r="E6" s="11" t="n">
        <v>0.115</v>
      </c>
    </row>
    <row r="7">
      <c r="A7" s="9" t="inlineStr">
        <is>
          <t>Conservador-CRIPTOMOEDAS</t>
        </is>
      </c>
      <c r="B7" s="9" t="inlineStr">
        <is>
          <t>Conservador</t>
        </is>
      </c>
      <c r="C7" s="9" t="inlineStr">
        <is>
          <t>CRIPTOMOEDAS</t>
        </is>
      </c>
      <c r="D7" s="11" t="n">
        <v>0</v>
      </c>
      <c r="E7" s="11" t="n">
        <v>0.18</v>
      </c>
    </row>
    <row r="8">
      <c r="A8" s="9" t="inlineStr">
        <is>
          <t>Moderado-RENDA FIXA</t>
        </is>
      </c>
      <c r="B8" s="9" t="inlineStr">
        <is>
          <t>Moderado</t>
        </is>
      </c>
      <c r="C8" s="9" t="inlineStr">
        <is>
          <t>RENDA FIXA</t>
        </is>
      </c>
      <c r="D8" s="11" t="n">
        <v>0.35</v>
      </c>
      <c r="E8" s="11" t="n">
        <v>0.1</v>
      </c>
    </row>
    <row r="9">
      <c r="A9" s="9" t="inlineStr">
        <is>
          <t>Moderado-IMOBILIÁRIO</t>
        </is>
      </c>
      <c r="B9" s="9" t="inlineStr">
        <is>
          <t>Moderado</t>
        </is>
      </c>
      <c r="C9" s="9" t="inlineStr">
        <is>
          <t>IMOBILIÁRIO</t>
        </is>
      </c>
      <c r="D9" s="11" t="n">
        <v>0.32</v>
      </c>
      <c r="E9" s="11" t="n">
        <v>0.11</v>
      </c>
    </row>
    <row r="10">
      <c r="A10" s="9" t="inlineStr">
        <is>
          <t>Moderado-MULTIMERCADO</t>
        </is>
      </c>
      <c r="B10" s="9" t="inlineStr">
        <is>
          <t>Moderado</t>
        </is>
      </c>
      <c r="C10" s="9" t="inlineStr">
        <is>
          <t>MULTIMERCADO</t>
        </is>
      </c>
      <c r="D10" s="11" t="n">
        <v>0.08</v>
      </c>
      <c r="E10" s="11" t="n">
        <v>0.105</v>
      </c>
    </row>
    <row r="11">
      <c r="A11" s="9" t="inlineStr">
        <is>
          <t>Moderado-AÇÕES BR</t>
        </is>
      </c>
      <c r="B11" s="9" t="inlineStr">
        <is>
          <t>Moderado</t>
        </is>
      </c>
      <c r="C11" s="9" t="inlineStr">
        <is>
          <t>AÇÕES BR</t>
        </is>
      </c>
      <c r="D11" s="11" t="n">
        <v>0.1</v>
      </c>
      <c r="E11" s="11" t="n">
        <v>0.12</v>
      </c>
    </row>
    <row r="12">
      <c r="A12" s="9" t="inlineStr">
        <is>
          <t>Moderado-INTERNACIONAL</t>
        </is>
      </c>
      <c r="B12" s="9" t="inlineStr">
        <is>
          <t>Moderado</t>
        </is>
      </c>
      <c r="C12" s="9" t="inlineStr">
        <is>
          <t>INTERNACIONAL</t>
        </is>
      </c>
      <c r="D12" s="11" t="n">
        <v>0.1</v>
      </c>
      <c r="E12" s="11" t="n">
        <v>0.115</v>
      </c>
    </row>
    <row r="13">
      <c r="A13" s="9" t="inlineStr">
        <is>
          <t>Moderado-CRIPTOMOEDAS</t>
        </is>
      </c>
      <c r="B13" s="9" t="inlineStr">
        <is>
          <t>Moderado</t>
        </is>
      </c>
      <c r="C13" s="9" t="inlineStr">
        <is>
          <t>CRIPTOMOEDAS</t>
        </is>
      </c>
      <c r="D13" s="11" t="n">
        <v>0.05</v>
      </c>
      <c r="E13" s="11" t="n">
        <v>0.18</v>
      </c>
    </row>
    <row r="14">
      <c r="A14" s="9" t="inlineStr">
        <is>
          <t>Agressivo-RENDA FIXA</t>
        </is>
      </c>
      <c r="B14" s="9" t="inlineStr">
        <is>
          <t>Agressivo</t>
        </is>
      </c>
      <c r="C14" s="9" t="inlineStr">
        <is>
          <t>RENDA FIXA</t>
        </is>
      </c>
      <c r="D14" s="11" t="n">
        <v>0.1</v>
      </c>
      <c r="E14" s="11" t="n">
        <v>0.1</v>
      </c>
    </row>
    <row r="15">
      <c r="A15" s="9" t="inlineStr">
        <is>
          <t>Agressivo-IMOBILIÁRIO</t>
        </is>
      </c>
      <c r="B15" s="9" t="inlineStr">
        <is>
          <t>Agressivo</t>
        </is>
      </c>
      <c r="C15" s="9" t="inlineStr">
        <is>
          <t>IMOBILIÁRIO</t>
        </is>
      </c>
      <c r="D15" s="11" t="n">
        <v>0.2</v>
      </c>
      <c r="E15" s="11" t="n">
        <v>0.11</v>
      </c>
    </row>
    <row r="16">
      <c r="A16" s="9" t="inlineStr">
        <is>
          <t>Agressivo-MULTIMERCADO</t>
        </is>
      </c>
      <c r="B16" s="9" t="inlineStr">
        <is>
          <t>Agressivo</t>
        </is>
      </c>
      <c r="C16" s="9" t="inlineStr">
        <is>
          <t>MULTIMERCADO</t>
        </is>
      </c>
      <c r="D16" s="11" t="n">
        <v>0.05</v>
      </c>
      <c r="E16" s="11" t="n">
        <v>0.105</v>
      </c>
    </row>
    <row r="17">
      <c r="A17" s="9" t="inlineStr">
        <is>
          <t>Agressivo-AÇÕES BR</t>
        </is>
      </c>
      <c r="B17" s="9" t="inlineStr">
        <is>
          <t>Agressivo</t>
        </is>
      </c>
      <c r="C17" s="9" t="inlineStr">
        <is>
          <t>AÇÕES BR</t>
        </is>
      </c>
      <c r="D17" s="11" t="n">
        <v>0.35</v>
      </c>
      <c r="E17" s="11" t="n">
        <v>0.12</v>
      </c>
    </row>
    <row r="18">
      <c r="A18" s="9" t="inlineStr">
        <is>
          <t>Agressivo-INTERNACIONAL</t>
        </is>
      </c>
      <c r="B18" s="9" t="inlineStr">
        <is>
          <t>Agressivo</t>
        </is>
      </c>
      <c r="C18" s="9" t="inlineStr">
        <is>
          <t>INTERNACIONAL</t>
        </is>
      </c>
      <c r="D18" s="11" t="n">
        <v>0.2</v>
      </c>
      <c r="E18" s="11" t="n">
        <v>0.115</v>
      </c>
    </row>
    <row r="19">
      <c r="A19" s="9" t="inlineStr">
        <is>
          <t>Agressivo-CRIPTOMOEDAS</t>
        </is>
      </c>
      <c r="B19" s="9" t="inlineStr">
        <is>
          <t>Agressivo</t>
        </is>
      </c>
      <c r="C19" s="9" t="inlineStr">
        <is>
          <t>CRIPTOMOEDAS</t>
        </is>
      </c>
      <c r="D19" s="11" t="n">
        <v>0.1</v>
      </c>
      <c r="E19" s="1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2026-08-20T01:45:14Z</dcterms:created>
  <dcterms:modified xsi:type="dcterms:W3CDTF">2026-08-20T01:45:14Z</dcterms:modified>
</cp:coreProperties>
</file>