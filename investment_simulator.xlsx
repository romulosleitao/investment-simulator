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Database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92" customWidth="1" min="3" max="3"/>
    <col width="27" customWidth="1" min="4" max="4"/>
  </cols>
  <sheetData>
    <row r="1"/>
    <row r="2">
      <c r="B2" s="1" t="inlineStr">
        <is>
          <t>SIMULADOR DE INVESTIMENTOS</t>
        </is>
      </c>
    </row>
    <row r="3"/>
    <row r="4"/>
    <row r="5"/>
    <row r="6"/>
    <row r="7"/>
    <row r="8"/>
    <row r="9">
      <c r="B9" s="2" t="inlineStr">
        <is>
          <t>CONFIGURAÇÕES</t>
        </is>
      </c>
    </row>
    <row r="10">
      <c r="B10" s="3" t="inlineStr">
        <is>
          <t>Salário</t>
        </is>
      </c>
      <c r="D10" s="4" t="n">
        <v>2000</v>
      </c>
    </row>
    <row r="11">
      <c r="B11" s="3" t="inlineStr">
        <is>
          <t>Rendimento Carteira</t>
        </is>
      </c>
      <c r="D11" s="5" t="n">
        <v>0.006</v>
      </c>
    </row>
    <row r="12">
      <c r="B12" s="3" t="inlineStr">
        <is>
          <t>Sugestão de Investimento (30%)</t>
        </is>
      </c>
      <c r="D12" s="4">
        <f>B10*0.3</f>
        <v/>
      </c>
    </row>
    <row r="13"/>
    <row r="14">
      <c r="B14" s="2" t="inlineStr">
        <is>
          <t>INVESTIMENTO MENSAL</t>
        </is>
      </c>
    </row>
    <row r="15">
      <c r="B15" s="3" t="inlineStr">
        <is>
          <t>Quanto investir por mês ?</t>
        </is>
      </c>
      <c r="D15" s="4" t="n">
        <v>200</v>
      </c>
    </row>
    <row r="16">
      <c r="B16" s="3" t="inlineStr">
        <is>
          <t>Por Quantos Anos ?</t>
        </is>
      </c>
      <c r="D16" s="3" t="n">
        <v>5</v>
      </c>
    </row>
    <row r="17">
      <c r="B17" s="3" t="inlineStr">
        <is>
          <t>Taxa de Rendimento mensal ?</t>
        </is>
      </c>
      <c r="D17" s="6">
        <f>D11</f>
        <v/>
      </c>
    </row>
    <row r="18">
      <c r="B18" s="3" t="inlineStr">
        <is>
          <t>Patrimônio acumulado ?</t>
        </is>
      </c>
      <c r="D18" s="4">
        <f>VF(D17; D16*12; -D15)</f>
        <v/>
      </c>
    </row>
    <row r="19">
      <c r="B19" s="3" t="inlineStr">
        <is>
          <t>Retorno Mensal Estimado ?</t>
        </is>
      </c>
      <c r="D19" s="4">
        <f>D18*D11</f>
        <v/>
      </c>
    </row>
    <row r="20"/>
    <row r="21">
      <c r="B21" s="2" t="inlineStr">
        <is>
          <t>Cenários (Projeção de Longo Prazo)</t>
        </is>
      </c>
    </row>
    <row r="22">
      <c r="B22" s="7" t="inlineStr">
        <is>
          <t>Anos</t>
        </is>
      </c>
      <c r="C22" s="7" t="inlineStr">
        <is>
          <t>Patrimônio Acumulado</t>
        </is>
      </c>
      <c r="D22" s="7" t="inlineStr">
        <is>
          <t>Retorno Mensal Estimado</t>
        </is>
      </c>
    </row>
    <row r="23">
      <c r="B23" s="3" t="n">
        <v>2</v>
      </c>
      <c r="C23" s="4">
        <f>VF($D$17; B23*12; -$D$15)</f>
        <v/>
      </c>
      <c r="D23" s="4">
        <f>C23*$D$17</f>
        <v/>
      </c>
    </row>
    <row r="24">
      <c r="B24" s="3" t="n">
        <v>5</v>
      </c>
      <c r="C24" s="4">
        <f>VF($D$17; B24*12; -$D$15)</f>
        <v/>
      </c>
      <c r="D24" s="4">
        <f>C24*$D$17</f>
        <v/>
      </c>
    </row>
    <row r="25">
      <c r="B25" s="3" t="n">
        <v>10</v>
      </c>
      <c r="C25" s="4">
        <f>VF($D$17; B25*12; -$D$15)</f>
        <v/>
      </c>
      <c r="D25" s="4">
        <f>C25*$D$17</f>
        <v/>
      </c>
    </row>
    <row r="26">
      <c r="B26" s="3" t="n">
        <v>20</v>
      </c>
      <c r="C26" s="4">
        <f>VF($D$17; B26*12; -$D$15)</f>
        <v/>
      </c>
      <c r="D26" s="4">
        <f>C26*$D$17</f>
        <v/>
      </c>
    </row>
    <row r="27">
      <c r="B27" s="3" t="n">
        <v>30</v>
      </c>
      <c r="C27" s="4">
        <f>VF($D$17; B27*12; -$D$15)</f>
        <v/>
      </c>
      <c r="D27" s="4">
        <f>C27*$D$17</f>
        <v/>
      </c>
    </row>
    <row r="28"/>
    <row r="29">
      <c r="B29" s="2" t="inlineStr">
        <is>
          <t>DISTRIBUIÇÃO DE CARTEIRA POR PERFIL</t>
        </is>
      </c>
    </row>
    <row r="30">
      <c r="B30" t="inlineStr">
        <is>
          <t>PERFIL SELECIONADO</t>
        </is>
      </c>
      <c r="C30" s="8" t="inlineStr">
        <is>
          <t>Moderado</t>
        </is>
      </c>
    </row>
    <row r="31">
      <c r="B31" t="inlineStr">
        <is>
          <t>VALOR A SER INVESTIDO POR MÊS</t>
        </is>
      </c>
      <c r="C31" s="9">
        <f>D15</f>
        <v/>
      </c>
    </row>
    <row r="32"/>
    <row r="33">
      <c r="B33" s="7" t="inlineStr">
        <is>
          <t>TIPO DE INVESTIMENTO</t>
        </is>
      </c>
      <c r="C33" s="7" t="inlineStr">
        <is>
          <t>Percentual Sugerido</t>
        </is>
      </c>
      <c r="D33" s="7" t="inlineStr">
        <is>
          <t>Valores (R$)</t>
        </is>
      </c>
    </row>
    <row r="34">
      <c r="B34" s="3" t="inlineStr">
        <is>
          <t>RENDA FIXA</t>
        </is>
      </c>
      <c r="C34" s="5">
        <f>PROCX($C$30 &amp; "-" &amp; B34; Database_Profiles!$A$2:$A$19; Database_Profiles!$D$2:$D$19; 0)</f>
        <v/>
      </c>
      <c r="D34" s="4">
        <f>C34*$C$31</f>
        <v/>
      </c>
    </row>
    <row r="35">
      <c r="B35" s="3" t="inlineStr">
        <is>
          <t>IMOBILIÁRIO</t>
        </is>
      </c>
      <c r="C35" s="5">
        <f>PROCX($C$30 &amp; "-" &amp; B35; Database_Profiles!$A$2:$A$19; Database_Profiles!$D$2:$D$19; 0)</f>
        <v/>
      </c>
      <c r="D35" s="4">
        <f>C35*$C$31</f>
        <v/>
      </c>
    </row>
    <row r="36">
      <c r="B36" s="3" t="inlineStr">
        <is>
          <t>MULTIMERCADO</t>
        </is>
      </c>
      <c r="C36" s="5">
        <f>PROCX($C$30 &amp; "-" &amp; B36; Database_Profiles!$A$2:$A$19; Database_Profiles!$D$2:$D$19; 0)</f>
        <v/>
      </c>
      <c r="D36" s="4">
        <f>C36*$C$31</f>
        <v/>
      </c>
    </row>
    <row r="37">
      <c r="B37" s="3" t="inlineStr">
        <is>
          <t>AÇÕES BR</t>
        </is>
      </c>
      <c r="C37" s="5">
        <f>PROCX($C$30 &amp; "-" &amp; B37; Database_Profiles!$A$2:$A$19; Database_Profiles!$D$2:$D$19; 0)</f>
        <v/>
      </c>
      <c r="D37" s="4">
        <f>C37*$C$31</f>
        <v/>
      </c>
    </row>
    <row r="38">
      <c r="B38" s="3" t="inlineStr">
        <is>
          <t>INTERNACIONAL</t>
        </is>
      </c>
      <c r="C38" s="5">
        <f>PROCX($C$30 &amp; "-" &amp; B38; Database_Profiles!$A$2:$A$19; Database_Profiles!$D$2:$D$19; 0)</f>
        <v/>
      </c>
      <c r="D38" s="4">
        <f>C38*$C$31</f>
        <v/>
      </c>
    </row>
    <row r="39">
      <c r="B39" s="3" t="inlineStr">
        <is>
          <t>CRIPTOMOEDAS</t>
        </is>
      </c>
      <c r="C39" s="5">
        <f>PROCX($C$30 &amp; "-" &amp; B39; Database_Profiles!$A$2:$A$19; Database_Profiles!$D$2:$D$19; 0)</f>
        <v/>
      </c>
      <c r="D39" s="4">
        <f>C39*$C$31</f>
        <v/>
      </c>
    </row>
    <row r="40">
      <c r="B40" s="8" t="inlineStr">
        <is>
          <t>TOTAL</t>
        </is>
      </c>
      <c r="C40" s="10">
        <f>SOMA(C34:C39)</f>
        <v/>
      </c>
      <c r="D40" s="9">
        <f>SOMA(D34:D39)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4" customWidth="1" min="3" max="3"/>
    <col width="12" customWidth="1" min="4" max="4"/>
  </cols>
  <sheetData>
    <row r="1">
      <c r="A1" s="2" t="inlineStr">
        <is>
          <t>CHAVE</t>
        </is>
      </c>
      <c r="B1" s="2" t="inlineStr">
        <is>
          <t>PERFIL</t>
        </is>
      </c>
      <c r="C1" s="2" t="inlineStr">
        <is>
          <t>TIPO DE INVESTIMENTO</t>
        </is>
      </c>
      <c r="D1" s="2" t="inlineStr">
        <is>
          <t>%</t>
        </is>
      </c>
    </row>
    <row r="2">
      <c r="A2" s="3" t="inlineStr">
        <is>
          <t>Conservador-RENDA FIXA</t>
        </is>
      </c>
      <c r="B2" s="3" t="inlineStr">
        <is>
          <t>Conservador</t>
        </is>
      </c>
      <c r="C2" s="3" t="inlineStr">
        <is>
          <t>RENDA FIXA</t>
        </is>
      </c>
      <c r="D2" s="5" t="n">
        <v>0.5</v>
      </c>
    </row>
    <row r="3">
      <c r="A3" s="3" t="inlineStr">
        <is>
          <t>Conservador-IMOBILIÁRIO</t>
        </is>
      </c>
      <c r="B3" s="3" t="inlineStr">
        <is>
          <t>Conservador</t>
        </is>
      </c>
      <c r="C3" s="3" t="inlineStr">
        <is>
          <t>IMOBILIÁRIO</t>
        </is>
      </c>
      <c r="D3" s="5" t="n">
        <v>0.3</v>
      </c>
    </row>
    <row r="4">
      <c r="A4" s="3" t="inlineStr">
        <is>
          <t>Conservador-MULTIMERCADO</t>
        </is>
      </c>
      <c r="B4" s="3" t="inlineStr">
        <is>
          <t>Conservador</t>
        </is>
      </c>
      <c r="C4" s="3" t="inlineStr">
        <is>
          <t>MULTIMERCADO</t>
        </is>
      </c>
      <c r="D4" s="5" t="n">
        <v>0.1</v>
      </c>
    </row>
    <row r="5">
      <c r="A5" s="3" t="inlineStr">
        <is>
          <t>Conservador-AÇÕES BR</t>
        </is>
      </c>
      <c r="B5" s="3" t="inlineStr">
        <is>
          <t>Conservador</t>
        </is>
      </c>
      <c r="C5" s="3" t="inlineStr">
        <is>
          <t>AÇÕES BR</t>
        </is>
      </c>
      <c r="D5" s="5" t="n">
        <v>0.1</v>
      </c>
    </row>
    <row r="6">
      <c r="A6" s="3" t="inlineStr">
        <is>
          <t>Conservador-INTERNACIONAL</t>
        </is>
      </c>
      <c r="B6" s="3" t="inlineStr">
        <is>
          <t>Conservador</t>
        </is>
      </c>
      <c r="C6" s="3" t="inlineStr">
        <is>
          <t>INTERNACIONAL</t>
        </is>
      </c>
      <c r="D6" s="5" t="n">
        <v>0</v>
      </c>
    </row>
    <row r="7">
      <c r="A7" s="3" t="inlineStr">
        <is>
          <t>Conservador-CRIPTOMOEDAS</t>
        </is>
      </c>
      <c r="B7" s="3" t="inlineStr">
        <is>
          <t>Conservador</t>
        </is>
      </c>
      <c r="C7" s="3" t="inlineStr">
        <is>
          <t>CRIPTOMOEDAS</t>
        </is>
      </c>
      <c r="D7" s="5" t="n">
        <v>0</v>
      </c>
    </row>
    <row r="8">
      <c r="A8" s="3" t="inlineStr">
        <is>
          <t>Moderado-RENDA FIXA</t>
        </is>
      </c>
      <c r="B8" s="3" t="inlineStr">
        <is>
          <t>Moderado</t>
        </is>
      </c>
      <c r="C8" s="3" t="inlineStr">
        <is>
          <t>RENDA FIXA</t>
        </is>
      </c>
      <c r="D8" s="5" t="n">
        <v>0.35</v>
      </c>
    </row>
    <row r="9">
      <c r="A9" s="3" t="inlineStr">
        <is>
          <t>Moderado-IMOBILIÁRIO</t>
        </is>
      </c>
      <c r="B9" s="3" t="inlineStr">
        <is>
          <t>Moderado</t>
        </is>
      </c>
      <c r="C9" s="3" t="inlineStr">
        <is>
          <t>IMOBILIÁRIO</t>
        </is>
      </c>
      <c r="D9" s="5" t="n">
        <v>0.32</v>
      </c>
    </row>
    <row r="10">
      <c r="A10" s="3" t="inlineStr">
        <is>
          <t>Moderado-MULTIMERCADO</t>
        </is>
      </c>
      <c r="B10" s="3" t="inlineStr">
        <is>
          <t>Moderado</t>
        </is>
      </c>
      <c r="C10" s="3" t="inlineStr">
        <is>
          <t>MULTIMERCADO</t>
        </is>
      </c>
      <c r="D10" s="5" t="n">
        <v>0.08</v>
      </c>
    </row>
    <row r="11">
      <c r="A11" s="3" t="inlineStr">
        <is>
          <t>Moderado-AÇÕES BR</t>
        </is>
      </c>
      <c r="B11" s="3" t="inlineStr">
        <is>
          <t>Moderado</t>
        </is>
      </c>
      <c r="C11" s="3" t="inlineStr">
        <is>
          <t>AÇÕES BR</t>
        </is>
      </c>
      <c r="D11" s="5" t="n">
        <v>0.1</v>
      </c>
    </row>
    <row r="12">
      <c r="A12" s="3" t="inlineStr">
        <is>
          <t>Moderado-INTERNACIONAL</t>
        </is>
      </c>
      <c r="B12" s="3" t="inlineStr">
        <is>
          <t>Moderado</t>
        </is>
      </c>
      <c r="C12" s="3" t="inlineStr">
        <is>
          <t>INTERNACIONAL</t>
        </is>
      </c>
      <c r="D12" s="5" t="n">
        <v>0.1</v>
      </c>
    </row>
    <row r="13">
      <c r="A13" s="3" t="inlineStr">
        <is>
          <t>Moderado-CRIPTOMOEDAS</t>
        </is>
      </c>
      <c r="B13" s="3" t="inlineStr">
        <is>
          <t>Moderado</t>
        </is>
      </c>
      <c r="C13" s="3" t="inlineStr">
        <is>
          <t>CRIPTOMOEDAS</t>
        </is>
      </c>
      <c r="D13" s="5" t="n">
        <v>0.05</v>
      </c>
    </row>
    <row r="14">
      <c r="A14" s="3" t="inlineStr">
        <is>
          <t>Agressivo-RENDA FIXA</t>
        </is>
      </c>
      <c r="B14" s="3" t="inlineStr">
        <is>
          <t>Agressivo</t>
        </is>
      </c>
      <c r="C14" s="3" t="inlineStr">
        <is>
          <t>RENDA FIXA</t>
        </is>
      </c>
      <c r="D14" s="5" t="n">
        <v>0.1</v>
      </c>
    </row>
    <row r="15">
      <c r="A15" s="3" t="inlineStr">
        <is>
          <t>Agressivo-IMOBILIÁRIO</t>
        </is>
      </c>
      <c r="B15" s="3" t="inlineStr">
        <is>
          <t>Agressivo</t>
        </is>
      </c>
      <c r="C15" s="3" t="inlineStr">
        <is>
          <t>IMOBILIÁRIO</t>
        </is>
      </c>
      <c r="D15" s="5" t="n">
        <v>0.2</v>
      </c>
    </row>
    <row r="16">
      <c r="A16" s="3" t="inlineStr">
        <is>
          <t>Agressivo-MULTIMERCADO</t>
        </is>
      </c>
      <c r="B16" s="3" t="inlineStr">
        <is>
          <t>Agressivo</t>
        </is>
      </c>
      <c r="C16" s="3" t="inlineStr">
        <is>
          <t>MULTIMERCADO</t>
        </is>
      </c>
      <c r="D16" s="5" t="n">
        <v>0.05</v>
      </c>
    </row>
    <row r="17">
      <c r="A17" s="3" t="inlineStr">
        <is>
          <t>Agressivo-AÇÕES BR</t>
        </is>
      </c>
      <c r="B17" s="3" t="inlineStr">
        <is>
          <t>Agressivo</t>
        </is>
      </c>
      <c r="C17" s="3" t="inlineStr">
        <is>
          <t>AÇÕES BR</t>
        </is>
      </c>
      <c r="D17" s="5" t="n">
        <v>0.35</v>
      </c>
    </row>
    <row r="18">
      <c r="A18" s="3" t="inlineStr">
        <is>
          <t>Agressivo-INTERNACIONAL</t>
        </is>
      </c>
      <c r="B18" s="3" t="inlineStr">
        <is>
          <t>Agressivo</t>
        </is>
      </c>
      <c r="C18" s="3" t="inlineStr">
        <is>
          <t>INTERNACIONAL</t>
        </is>
      </c>
      <c r="D18" s="5" t="n">
        <v>0.2</v>
      </c>
    </row>
    <row r="19">
      <c r="A19" s="3" t="inlineStr">
        <is>
          <t>Agressivo-CRIPTOMOEDAS</t>
        </is>
      </c>
      <c r="B19" s="3" t="inlineStr">
        <is>
          <t>Agressivo</t>
        </is>
      </c>
      <c r="C19" s="3" t="inlineStr">
        <is>
          <t>CRIPTOMOEDAS</t>
        </is>
      </c>
      <c r="D19" s="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2026-08-19T20:06:46Z</dcterms:created>
  <dcterms:modified xsi:type="dcterms:W3CDTF">2026-08-19T20:06:46Z</dcterms:modified>
</cp:coreProperties>
</file>