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6"/>
    </font>
    <font>
      <name val="Calibri"/>
      <b val="1"/>
      <color rgb="00000000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2" fillId="0" borderId="0" pivotButton="0" quotePrefix="0" xfId="0"/>
    <xf numFmtId="164" fontId="5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92" customWidth="1" min="3" max="3"/>
    <col width="27" customWidth="1" min="4" max="4"/>
  </cols>
  <sheetData>
    <row r="1"/>
    <row r="2">
      <c r="B2" s="1" t="inlineStr">
        <is>
          <t>SIMULADOR DE INVESTIMENTOS</t>
        </is>
      </c>
    </row>
    <row r="3"/>
    <row r="4"/>
    <row r="5"/>
    <row r="6"/>
    <row r="7"/>
    <row r="8"/>
    <row r="9">
      <c r="B9" s="2" t="inlineStr">
        <is>
          <t>CONFIGURAÇÕES</t>
        </is>
      </c>
    </row>
    <row r="10">
      <c r="B10" t="inlineStr">
        <is>
          <t>Salário</t>
        </is>
      </c>
      <c r="D10" s="3" t="n">
        <v>2000</v>
      </c>
    </row>
    <row r="11">
      <c r="B11" t="inlineStr">
        <is>
          <t>Rendimento Carteira</t>
        </is>
      </c>
      <c r="D11" s="4" t="n">
        <v>0.006</v>
      </c>
    </row>
    <row r="12">
      <c r="B12" t="inlineStr">
        <is>
          <t>Sugestão de Investimento (30%)</t>
        </is>
      </c>
      <c r="D12" s="3">
        <f>D10*0.3</f>
        <v/>
      </c>
    </row>
    <row r="13"/>
    <row r="14">
      <c r="B14" s="2" t="inlineStr">
        <is>
          <t>INVESTIMENTO MENSAL</t>
        </is>
      </c>
    </row>
    <row r="15">
      <c r="B15" t="inlineStr">
        <is>
          <t>Quanto investir por mês ?</t>
        </is>
      </c>
      <c r="D15" s="3" t="n">
        <v>200</v>
      </c>
    </row>
    <row r="16">
      <c r="B16" t="inlineStr">
        <is>
          <t>Por Quantos Anos ?</t>
        </is>
      </c>
      <c r="D16" t="n">
        <v>5</v>
      </c>
    </row>
    <row r="17">
      <c r="B17" t="inlineStr">
        <is>
          <t>Taxa de Rendimento mensal ?</t>
        </is>
      </c>
      <c r="D17" s="5">
        <f>D11</f>
        <v/>
      </c>
    </row>
    <row r="18">
      <c r="B18" t="inlineStr">
        <is>
          <t>Patrimônio acumulado ?</t>
        </is>
      </c>
      <c r="D18" s="3">
        <f>VF(D17; D16*12; -D15)</f>
        <v/>
      </c>
    </row>
    <row r="19">
      <c r="B19" t="inlineStr">
        <is>
          <t>Retorno Mensal Estimado ?</t>
        </is>
      </c>
      <c r="D19" s="3">
        <f>D18*D11</f>
        <v/>
      </c>
    </row>
    <row r="20"/>
    <row r="21">
      <c r="B21" s="2" t="inlineStr">
        <is>
          <t>Cenários (Projeção de Longo Prazo)</t>
        </is>
      </c>
    </row>
    <row r="22">
      <c r="B22" s="6" t="inlineStr">
        <is>
          <t>Anos</t>
        </is>
      </c>
      <c r="C22" s="6" t="inlineStr">
        <is>
          <t>Patrimônio Acumulado</t>
        </is>
      </c>
      <c r="D22" s="6" t="inlineStr">
        <is>
          <t>Retorno Mensal Estimado</t>
        </is>
      </c>
    </row>
    <row r="23">
      <c r="B23" t="n">
        <v>2</v>
      </c>
      <c r="C23" s="3">
        <f>VF($D$17; B23*12; -$D$15)</f>
        <v/>
      </c>
      <c r="D23" s="3">
        <f>C23*$D$17</f>
        <v/>
      </c>
    </row>
    <row r="24">
      <c r="B24" t="n">
        <v>5</v>
      </c>
      <c r="C24" s="3">
        <f>VF($D$17; B24*12; -$D$15)</f>
        <v/>
      </c>
      <c r="D24" s="3">
        <f>C24*$D$17</f>
        <v/>
      </c>
    </row>
    <row r="25">
      <c r="B25" t="n">
        <v>10</v>
      </c>
      <c r="C25" s="3">
        <f>VF($D$17; B25*12; -$D$15)</f>
        <v/>
      </c>
      <c r="D25" s="3">
        <f>C25*$D$17</f>
        <v/>
      </c>
    </row>
    <row r="26">
      <c r="B26" t="n">
        <v>20</v>
      </c>
      <c r="C26" s="3">
        <f>VF($D$17; B26*12; -$D$15)</f>
        <v/>
      </c>
      <c r="D26" s="3">
        <f>C26*$D$17</f>
        <v/>
      </c>
    </row>
    <row r="27">
      <c r="B27" t="n">
        <v>30</v>
      </c>
      <c r="C27" s="3">
        <f>VF($D$17; B27*12; -$D$15)</f>
        <v/>
      </c>
      <c r="D27" s="3">
        <f>C27*$D$17</f>
        <v/>
      </c>
    </row>
    <row r="28"/>
    <row r="29">
      <c r="B29" s="2" t="inlineStr">
        <is>
          <t>DISTRIBUIÇÃO DE CARTEIRA POR PERFIL</t>
        </is>
      </c>
    </row>
    <row r="30">
      <c r="B30" t="inlineStr">
        <is>
          <t>PERFIL SELECIONADO</t>
        </is>
      </c>
      <c r="C30" s="7" t="inlineStr">
        <is>
          <t>Moderado</t>
        </is>
      </c>
    </row>
    <row r="31">
      <c r="B31" t="inlineStr">
        <is>
          <t>VALOR A SER INVESTIDO POR MÊS</t>
        </is>
      </c>
      <c r="C31" s="8">
        <f>D15</f>
        <v/>
      </c>
    </row>
    <row r="32"/>
    <row r="33">
      <c r="B33" s="6" t="inlineStr">
        <is>
          <t>TIPO DE INVESTIMENTO</t>
        </is>
      </c>
      <c r="C33" s="6" t="inlineStr">
        <is>
          <t>Percentual Sugerido</t>
        </is>
      </c>
      <c r="D33" s="6" t="inlineStr">
        <is>
          <t>Valores (R$)</t>
        </is>
      </c>
    </row>
    <row r="34">
      <c r="B34" s="9" t="inlineStr">
        <is>
          <t>RENDA FIXA</t>
        </is>
      </c>
      <c r="C34" s="4">
        <f>PROCX($C$30 &amp; "-" &amp; B34; Database_Profiles!$A$2:$A$19; Database_Profiles!$D$2:$D$19; 0)</f>
        <v/>
      </c>
      <c r="D34" s="3">
        <f>C34*$C$31</f>
        <v/>
      </c>
    </row>
    <row r="35">
      <c r="B35" s="9" t="inlineStr">
        <is>
          <t>IMOBILIÁRIO</t>
        </is>
      </c>
      <c r="C35" s="4">
        <f>PROCX($C$30 &amp; "-" &amp; B35; Database_Profiles!$A$2:$A$19; Database_Profiles!$D$2:$D$19; 0)</f>
        <v/>
      </c>
      <c r="D35" s="3">
        <f>C35*$C$31</f>
        <v/>
      </c>
    </row>
    <row r="36">
      <c r="B36" s="9" t="inlineStr">
        <is>
          <t>MULTIMERCADO</t>
        </is>
      </c>
      <c r="C36" s="4">
        <f>PROCX($C$30 &amp; "-" &amp; B36; Database_Profiles!$A$2:$A$19; Database_Profiles!$D$2:$D$19; 0)</f>
        <v/>
      </c>
      <c r="D36" s="3">
        <f>C36*$C$31</f>
        <v/>
      </c>
    </row>
    <row r="37">
      <c r="B37" s="9" t="inlineStr">
        <is>
          <t>AÇÕES BR</t>
        </is>
      </c>
      <c r="C37" s="4">
        <f>PROCX($C$30 &amp; "-" &amp; B37; Database_Profiles!$A$2:$A$19; Database_Profiles!$D$2:$D$19; 0)</f>
        <v/>
      </c>
      <c r="D37" s="3">
        <f>C37*$C$31</f>
        <v/>
      </c>
    </row>
    <row r="38">
      <c r="B38" s="9" t="inlineStr">
        <is>
          <t>INTERNACIONAL</t>
        </is>
      </c>
      <c r="C38" s="4">
        <f>PROCX($C$30 &amp; "-" &amp; B38; Database_Profiles!$A$2:$A$19; Database_Profiles!$D$2:$D$19; 0)</f>
        <v/>
      </c>
      <c r="D38" s="3">
        <f>C38*$C$31</f>
        <v/>
      </c>
    </row>
    <row r="39">
      <c r="B39" s="9" t="inlineStr">
        <is>
          <t>CRIPTOMOEDAS</t>
        </is>
      </c>
      <c r="C39" s="4">
        <f>PROCX($C$30 &amp; "-" &amp; B39; Database_Profiles!$A$2:$A$19; Database_Profiles!$D$2:$D$19; 0)</f>
        <v/>
      </c>
      <c r="D39" s="3">
        <f>C39*$C$31</f>
        <v/>
      </c>
    </row>
    <row r="40">
      <c r="B40" s="7" t="inlineStr">
        <is>
          <t>TOTAL</t>
        </is>
      </c>
      <c r="C40" s="10">
        <f>SOMA(C34:C39)</f>
        <v/>
      </c>
      <c r="D40" s="8">
        <f>SOMA(D34:D39)</f>
        <v/>
      </c>
    </row>
  </sheetData>
  <dataValidations count="1">
    <dataValidation sqref="C30" showDropDown="0" showInputMessage="0" showErrorMessage="0" allowBlank="0" type="list">
      <formula1>Database_Profiles!$F$2:$F$4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  <col width="12" customWidth="1" min="5" max="5"/>
    <col width="17" customWidth="1" min="6" max="6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  <c r="F1" t="inlineStr">
        <is>
          <t>Perfis_Unicos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  <c r="F2" t="inlineStr">
        <is>
          <t>Conservador</t>
        </is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  <c r="F3" t="inlineStr">
        <is>
          <t>Moderado</t>
        </is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  <c r="F4" t="inlineStr">
        <is>
          <t>Agressivo</t>
        </is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2026-08-19T21:02:23Z</dcterms:created>
  <dcterms:modified xsi:type="dcterms:W3CDTF">2026-08-19T21:02:23Z</dcterms:modified>
</cp:coreProperties>
</file>